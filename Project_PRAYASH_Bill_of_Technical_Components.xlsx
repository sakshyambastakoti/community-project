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BOM &amp; Budget" sheetId="1" state="visible" r:id="rId1"/>
    <sheet name="Budget Alloc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NPR #,##0"/>
    <numFmt numFmtId="165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FECE2"/>
      <sz val="11"/>
    </font>
    <font>
      <name val="Segoe UI"/>
      <b val="1"/>
      <color rgb="00D92626"/>
      <sz val="12"/>
    </font>
    <font>
      <name val="Segoe UI"/>
      <b val="1"/>
      <color rgb="001A1A1A"/>
      <sz val="10"/>
    </font>
    <font>
      <name val="Segoe UI"/>
      <color rgb="001A1A1A"/>
      <sz val="10"/>
    </font>
    <font>
      <name val="Segoe UI"/>
      <b val="1"/>
      <color rgb="00FFFFFF"/>
      <sz val="11"/>
    </font>
    <font>
      <name val="Segoe UI"/>
      <b val="1"/>
      <color rgb="0016181B"/>
      <sz val="11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FECE2"/>
        <bgColor rgb="00EFECE2"/>
      </patternFill>
    </fill>
    <fill>
      <patternFill patternType="solid">
        <fgColor rgb="00D92626"/>
        <bgColor rgb="00D92626"/>
      </patternFill>
    </fill>
    <fill>
      <patternFill patternType="solid">
        <fgColor rgb="00FFFFFF"/>
        <bgColor rgb="00FFFFFF"/>
      </patternFill>
    </fill>
    <fill>
      <patternFill patternType="solid">
        <fgColor rgb="00F7F5EE"/>
        <bgColor rgb="00F7F5EE"/>
      </patternFill>
    </fill>
    <fill>
      <patternFill patternType="solid">
        <fgColor rgb="00FDF0F0"/>
        <bgColor rgb="00FDF0F0"/>
      </patternFill>
    </fill>
  </fills>
  <borders count="4">
    <border>
      <left/>
      <right/>
      <top/>
      <bottom/>
      <diagonal/>
    </border>
    <border>
      <left style="thin">
        <color rgb="00C8C4B5"/>
      </left>
      <right style="thin">
        <color rgb="00C8C4B5"/>
      </right>
      <top style="thin">
        <color rgb="00C8C4B5"/>
      </top>
      <bottom style="medium">
        <color rgb="00D92626"/>
      </bottom>
    </border>
    <border>
      <left style="thin">
        <color rgb="00C8C4B5"/>
      </left>
      <right style="thin">
        <color rgb="00C8C4B5"/>
      </right>
      <top style="thin">
        <color rgb="00C8C4B5"/>
      </top>
      <bottom style="thin">
        <color rgb="00C8C4B5"/>
      </bottom>
    </border>
    <border>
      <left style="thin">
        <color rgb="00C8C4B5"/>
      </left>
      <right style="thin">
        <color rgb="00C8C4B5"/>
      </right>
      <top style="thin">
        <color rgb="00C8C4B5"/>
      </top>
      <bottom style="double">
        <color rgb="0016181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/>
    </xf>
    <xf numFmtId="0" fontId="5" fillId="5" borderId="2" applyAlignment="1" pivotButton="0" quotePrefix="0" xfId="0">
      <alignment horizontal="left"/>
    </xf>
    <xf numFmtId="3" fontId="5" fillId="5" borderId="2" applyAlignment="1" pivotButton="0" quotePrefix="0" xfId="0">
      <alignment horizontal="center"/>
    </xf>
    <xf numFmtId="3" fontId="5" fillId="5" borderId="2" applyAlignment="1" pivotButton="0" quotePrefix="0" xfId="0">
      <alignment horizontal="right"/>
    </xf>
    <xf numFmtId="164" fontId="4" fillId="5" borderId="2" applyAlignment="1" pivotButton="0" quotePrefix="0" xfId="0">
      <alignment horizontal="right"/>
    </xf>
    <xf numFmtId="0" fontId="5" fillId="6" borderId="2" applyAlignment="1" pivotButton="0" quotePrefix="0" xfId="0">
      <alignment horizontal="center"/>
    </xf>
    <xf numFmtId="0" fontId="5" fillId="6" borderId="2" applyAlignment="1" pivotButton="0" quotePrefix="0" xfId="0">
      <alignment horizontal="left"/>
    </xf>
    <xf numFmtId="3" fontId="5" fillId="6" borderId="2" applyAlignment="1" pivotButton="0" quotePrefix="0" xfId="0">
      <alignment horizontal="center"/>
    </xf>
    <xf numFmtId="3" fontId="5" fillId="6" borderId="2" applyAlignment="1" pivotButton="0" quotePrefix="0" xfId="0">
      <alignment horizontal="right"/>
    </xf>
    <xf numFmtId="164" fontId="4" fillId="6" borderId="2" applyAlignment="1" pivotButton="0" quotePrefix="0" xfId="0">
      <alignment horizontal="right"/>
    </xf>
    <xf numFmtId="0" fontId="7" fillId="7" borderId="3" applyAlignment="1" pivotButton="0" quotePrefix="0" xfId="0">
      <alignment horizontal="right" vertical="center"/>
    </xf>
    <xf numFmtId="0" fontId="0" fillId="7" borderId="3" pivotButton="0" quotePrefix="0" xfId="0"/>
    <xf numFmtId="164" fontId="7" fillId="7" borderId="3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165" fontId="5" fillId="5" borderId="2" applyAlignment="1" pivotButton="0" quotePrefix="0" xfId="0">
      <alignment horizontal="right"/>
    </xf>
    <xf numFmtId="165" fontId="5" fillId="6" borderId="2" applyAlignment="1" pivotButton="0" quotePrefix="0" xfId="0">
      <alignment horizontal="right"/>
    </xf>
    <xf numFmtId="165" fontId="7" fillId="7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8" customWidth="1" min="3" max="3"/>
    <col width="40" customWidth="1" min="4" max="4"/>
    <col width="10" customWidth="1" min="5" max="5"/>
    <col width="10" customWidth="1" min="6" max="6"/>
    <col width="18" customWidth="1" min="7" max="7"/>
    <col width="20" customWidth="1" min="8" max="8"/>
    <col width="32" customWidth="1" min="9" max="9"/>
  </cols>
  <sheetData>
    <row r="1" ht="28" customHeight="1">
      <c r="A1" s="1" t="inlineStr">
        <is>
          <t>ROBOYUWA NEPAL — PROJECT PRAYASH 2026</t>
        </is>
      </c>
    </row>
    <row r="2" ht="20" customHeight="1">
      <c r="A2" s="2" t="inlineStr">
        <is>
          <t>Total Bill of Technical Components &amp; Budget Allocation (NPR 85,000 Target)</t>
        </is>
      </c>
    </row>
    <row r="3"/>
    <row r="4">
      <c r="A4" s="3" t="inlineStr">
        <is>
          <t>Project Context Summary:</t>
        </is>
      </c>
    </row>
    <row r="5">
      <c r="A5" s="4" t="inlineStr">
        <is>
          <t>Program Duration</t>
        </is>
      </c>
      <c r="C5" s="4" t="inlineStr">
        <is>
          <t>Target Beneficiaries</t>
        </is>
      </c>
      <c r="E5" s="4" t="inlineStr">
        <is>
          <t>Student Teams</t>
        </is>
      </c>
      <c r="G5" s="4" t="inlineStr">
        <is>
          <t>Total Budget</t>
        </is>
      </c>
    </row>
    <row r="6">
      <c r="A6" s="5" t="inlineStr">
        <is>
          <t>9 Days (28 Oct - 05 Nov 2026)</t>
        </is>
      </c>
      <c r="C6" s="5" t="inlineStr">
        <is>
          <t>40–50 Rural School Students</t>
        </is>
      </c>
      <c r="E6" s="5" t="inlineStr">
        <is>
          <t>8–10 Teams (4–5 students/team)</t>
        </is>
      </c>
      <c r="G6" s="5" t="inlineStr">
        <is>
          <t>NPR 85,000</t>
        </is>
      </c>
    </row>
    <row r="7"/>
    <row r="8" ht="26" customHeight="1">
      <c r="A8" s="6" t="inlineStr">
        <is>
          <t>S.N.</t>
        </is>
      </c>
      <c r="B8" s="6" t="inlineStr">
        <is>
          <t>Category</t>
        </is>
      </c>
      <c r="C8" s="6" t="inlineStr">
        <is>
          <t>Component / Item Description</t>
        </is>
      </c>
      <c r="D8" s="6" t="inlineStr">
        <is>
          <t>Specifications &amp; Use Case</t>
        </is>
      </c>
      <c r="E8" s="6" t="inlineStr">
        <is>
          <t>Qty</t>
        </is>
      </c>
      <c r="F8" s="6" t="inlineStr">
        <is>
          <t>Unit</t>
        </is>
      </c>
      <c r="G8" s="6" t="inlineStr">
        <is>
          <t>Unit Price (NPR)</t>
        </is>
      </c>
      <c r="H8" s="6" t="inlineStr">
        <is>
          <t>Total Cost (NPR)</t>
        </is>
      </c>
      <c r="I8" s="6" t="inlineStr">
        <is>
          <t>Allocation &amp; Purpose</t>
        </is>
      </c>
    </row>
    <row r="9" ht="20" customHeight="1">
      <c r="A9" s="7" t="n">
        <v>1</v>
      </c>
      <c r="B9" s="8" t="inlineStr">
        <is>
          <t>Microcontroller Boards</t>
        </is>
      </c>
      <c r="C9" s="8" t="inlineStr">
        <is>
          <t>Arduino Uno R3 Microcontroller Board</t>
        </is>
      </c>
      <c r="D9" s="8" t="inlineStr">
        <is>
          <t>ATmega328P DIP with USB Type-A/B Cable</t>
        </is>
      </c>
      <c r="E9" s="9" t="n">
        <v>10</v>
      </c>
      <c r="F9" s="7" t="inlineStr">
        <is>
          <t>Pcs</t>
        </is>
      </c>
      <c r="G9" s="10" t="n">
        <v>500</v>
      </c>
      <c r="H9" s="11">
        <f>E9*G9</f>
        <v/>
      </c>
      <c r="I9" s="8" t="inlineStr">
        <is>
          <t>Core team kit brain</t>
        </is>
      </c>
    </row>
    <row r="10" ht="20" customHeight="1">
      <c r="A10" s="12" t="n">
        <v>2</v>
      </c>
      <c r="B10" s="13" t="inlineStr">
        <is>
          <t>Microcontroller Boards</t>
        </is>
      </c>
      <c r="C10" s="13" t="inlineStr">
        <is>
          <t>Arduino Nano V3.0 Development Board</t>
        </is>
      </c>
      <c r="D10" s="13" t="inlineStr">
        <is>
          <t>CH340G / ATmega328P Mini-USB</t>
        </is>
      </c>
      <c r="E10" s="14" t="n">
        <v>5</v>
      </c>
      <c r="F10" s="12" t="inlineStr">
        <is>
          <t>Pcs</t>
        </is>
      </c>
      <c r="G10" s="15" t="n">
        <v>300</v>
      </c>
      <c r="H10" s="16">
        <f>E10*G10</f>
        <v/>
      </c>
      <c r="I10" s="13" t="inlineStr">
        <is>
          <t>Compact backup &amp; demo units</t>
        </is>
      </c>
    </row>
    <row r="11" ht="20" customHeight="1">
      <c r="A11" s="7" t="n">
        <v>3</v>
      </c>
      <c r="B11" s="8" t="inlineStr">
        <is>
          <t>Microcontroller Boards</t>
        </is>
      </c>
      <c r="C11" s="8" t="inlineStr">
        <is>
          <t>Sensor Shield V5.0 Expansion Board</t>
        </is>
      </c>
      <c r="D11" s="8" t="inlineStr">
        <is>
          <t>IO Expansion headers for Uno</t>
        </is>
      </c>
      <c r="E11" s="9" t="n">
        <v>6</v>
      </c>
      <c r="F11" s="7" t="inlineStr">
        <is>
          <t>Pcs</t>
        </is>
      </c>
      <c r="G11" s="10" t="n">
        <v>150</v>
      </c>
      <c r="H11" s="11">
        <f>E11*G11</f>
        <v/>
      </c>
      <c r="I11" s="8" t="inlineStr">
        <is>
          <t>Simplified pin connection</t>
        </is>
      </c>
    </row>
    <row r="12" ht="20" customHeight="1">
      <c r="A12" s="12" t="n">
        <v>4</v>
      </c>
      <c r="B12" s="13" t="inlineStr">
        <is>
          <t>Microcontroller Boards</t>
        </is>
      </c>
      <c r="C12" s="13" t="inlineStr">
        <is>
          <t>USB Type A to Type B Cables</t>
        </is>
      </c>
      <c r="D12" s="13" t="inlineStr">
        <is>
          <t>1.5m High speed shielded cable</t>
        </is>
      </c>
      <c r="E12" s="14" t="n">
        <v>10</v>
      </c>
      <c r="F12" s="12" t="inlineStr">
        <is>
          <t>Pcs</t>
        </is>
      </c>
      <c r="G12" s="15" t="n">
        <v>60</v>
      </c>
      <c r="H12" s="16">
        <f>E12*G12</f>
        <v/>
      </c>
      <c r="I12" s="13" t="inlineStr">
        <is>
          <t>Programming &amp; DC power</t>
        </is>
      </c>
    </row>
    <row r="13" ht="20" customHeight="1">
      <c r="A13" s="7" t="n">
        <v>5</v>
      </c>
      <c r="B13" s="8" t="inlineStr">
        <is>
          <t>Sensors &amp; Modules</t>
        </is>
      </c>
      <c r="C13" s="8" t="inlineStr">
        <is>
          <t>LDR Light Dependent Resistor Module</t>
        </is>
      </c>
      <c r="D13" s="8" t="inlineStr">
        <is>
          <t>Analog + Digital LM393 Output</t>
        </is>
      </c>
      <c r="E13" s="9" t="n">
        <v>20</v>
      </c>
      <c r="F13" s="7" t="inlineStr">
        <is>
          <t>Pcs</t>
        </is>
      </c>
      <c r="G13" s="10" t="n">
        <v>40</v>
      </c>
      <c r="H13" s="11">
        <f>E13*G13</f>
        <v/>
      </c>
      <c r="I13" s="8" t="inlineStr">
        <is>
          <t>Automatic night light project</t>
        </is>
      </c>
    </row>
    <row r="14" ht="20" customHeight="1">
      <c r="A14" s="12" t="n">
        <v>6</v>
      </c>
      <c r="B14" s="13" t="inlineStr">
        <is>
          <t>Sensors &amp; Modules</t>
        </is>
      </c>
      <c r="C14" s="13" t="inlineStr">
        <is>
          <t>IR Obstacle Avoidance Sensor Module</t>
        </is>
      </c>
      <c r="D14" s="13" t="inlineStr">
        <is>
          <t>Infrared 2cm-30cm adjustable threshold</t>
        </is>
      </c>
      <c r="E14" s="14" t="n">
        <v>20</v>
      </c>
      <c r="F14" s="12" t="inlineStr">
        <is>
          <t>Pcs</t>
        </is>
      </c>
      <c r="G14" s="15" t="n">
        <v>70</v>
      </c>
      <c r="H14" s="16">
        <f>E14*G14</f>
        <v/>
      </c>
      <c r="I14" s="13" t="inlineStr">
        <is>
          <t>Proximity &amp; counter alert</t>
        </is>
      </c>
    </row>
    <row r="15" ht="20" customHeight="1">
      <c r="A15" s="7" t="n">
        <v>7</v>
      </c>
      <c r="B15" s="8" t="inlineStr">
        <is>
          <t>Sensors &amp; Modules</t>
        </is>
      </c>
      <c r="C15" s="8" t="inlineStr">
        <is>
          <t>HC-SR04 Ultrasonic Distance Sensor</t>
        </is>
      </c>
      <c r="D15" s="8" t="inlineStr">
        <is>
          <t>2cm-400cm range, 3mm precision</t>
        </is>
      </c>
      <c r="E15" s="9" t="n">
        <v>12</v>
      </c>
      <c r="F15" s="7" t="inlineStr">
        <is>
          <t>Pcs</t>
        </is>
      </c>
      <c r="G15" s="10" t="n">
        <v>140</v>
      </c>
      <c r="H15" s="11">
        <f>E15*G15</f>
        <v/>
      </c>
      <c r="I15" s="8" t="inlineStr">
        <is>
          <t>Smart dustbin &amp; distance alert</t>
        </is>
      </c>
    </row>
    <row r="16" ht="20" customHeight="1">
      <c r="A16" s="12" t="n">
        <v>8</v>
      </c>
      <c r="B16" s="13" t="inlineStr">
        <is>
          <t>Sensors &amp; Modules</t>
        </is>
      </c>
      <c r="C16" s="13" t="inlineStr">
        <is>
          <t>DHT11 Temperature &amp; Humidity Sensor</t>
        </is>
      </c>
      <c r="D16" s="13" t="inlineStr">
        <is>
          <t>Digital output 20-90% RH, 0-50°C</t>
        </is>
      </c>
      <c r="E16" s="14" t="n">
        <v>8</v>
      </c>
      <c r="F16" s="12" t="inlineStr">
        <is>
          <t>Pcs</t>
        </is>
      </c>
      <c r="G16" s="15" t="n">
        <v>160</v>
      </c>
      <c r="H16" s="16">
        <f>E16*G16</f>
        <v/>
      </c>
      <c r="I16" s="13" t="inlineStr">
        <is>
          <t>Weather station monitoring</t>
        </is>
      </c>
    </row>
    <row r="17" ht="20" customHeight="1">
      <c r="A17" s="7" t="n">
        <v>9</v>
      </c>
      <c r="B17" s="8" t="inlineStr">
        <is>
          <t>Sensors &amp; Modules</t>
        </is>
      </c>
      <c r="C17" s="8" t="inlineStr">
        <is>
          <t>Rain / Snow Detection Sensor Board</t>
        </is>
      </c>
      <c r="D17" s="8" t="inlineStr">
        <is>
          <t>Nickel plated probe + LM393 module</t>
        </is>
      </c>
      <c r="E17" s="9" t="n">
        <v>8</v>
      </c>
      <c r="F17" s="7" t="inlineStr">
        <is>
          <t>Pcs</t>
        </is>
      </c>
      <c r="G17" s="10" t="n">
        <v>110</v>
      </c>
      <c r="H17" s="11">
        <f>E17*G17</f>
        <v/>
      </c>
      <c r="I17" s="8" t="inlineStr">
        <is>
          <t>Agricultural rain alarm</t>
        </is>
      </c>
    </row>
    <row r="18" ht="20" customHeight="1">
      <c r="A18" s="12" t="n">
        <v>10</v>
      </c>
      <c r="B18" s="13" t="inlineStr">
        <is>
          <t>Sensors &amp; Modules</t>
        </is>
      </c>
      <c r="C18" s="13" t="inlineStr">
        <is>
          <t>Water Level Depth Probe Board</t>
        </is>
      </c>
      <c r="D18" s="13" t="inlineStr">
        <is>
          <t>High sensitivity water trace lines</t>
        </is>
      </c>
      <c r="E18" s="14" t="n">
        <v>8</v>
      </c>
      <c r="F18" s="12" t="inlineStr">
        <is>
          <t>Pcs</t>
        </is>
      </c>
      <c r="G18" s="15" t="n">
        <v>100</v>
      </c>
      <c r="H18" s="16">
        <f>E18*G18</f>
        <v/>
      </c>
      <c r="I18" s="13" t="inlineStr">
        <is>
          <t>Water tank level indicator</t>
        </is>
      </c>
    </row>
    <row r="19" ht="20" customHeight="1">
      <c r="A19" s="7" t="n">
        <v>11</v>
      </c>
      <c r="B19" s="8" t="inlineStr">
        <is>
          <t>Sensors &amp; Modules</t>
        </is>
      </c>
      <c r="C19" s="8" t="inlineStr">
        <is>
          <t>Soil Moisture Detection Sensor Probe</t>
        </is>
      </c>
      <c r="D19" s="8" t="inlineStr">
        <is>
          <t>Soil resistance sensor with comparator</t>
        </is>
      </c>
      <c r="E19" s="9" t="n">
        <v>8</v>
      </c>
      <c r="F19" s="7" t="inlineStr">
        <is>
          <t>Pcs</t>
        </is>
      </c>
      <c r="G19" s="10" t="n">
        <v>145</v>
      </c>
      <c r="H19" s="11">
        <f>E19*G19</f>
        <v/>
      </c>
      <c r="I19" s="8" t="inlineStr">
        <is>
          <t>Smart plant irrigation</t>
        </is>
      </c>
    </row>
    <row r="20" ht="20" customHeight="1">
      <c r="A20" s="12" t="n">
        <v>12</v>
      </c>
      <c r="B20" s="13" t="inlineStr">
        <is>
          <t>Student Kits &amp; Actuators</t>
        </is>
      </c>
      <c r="C20" s="13" t="inlineStr">
        <is>
          <t>830-Point Solderless Breadboard</t>
        </is>
      </c>
      <c r="D20" s="13" t="inlineStr">
        <is>
          <t>MB-102 self-adhesive backing</t>
        </is>
      </c>
      <c r="E20" s="14" t="n">
        <v>15</v>
      </c>
      <c r="F20" s="12" t="inlineStr">
        <is>
          <t>Pcs</t>
        </is>
      </c>
      <c r="G20" s="15" t="n">
        <v>160</v>
      </c>
      <c r="H20" s="16">
        <f>E20*G20</f>
        <v/>
      </c>
      <c r="I20" s="13" t="inlineStr">
        <is>
          <t>Solderless circuit building</t>
        </is>
      </c>
    </row>
    <row r="21" ht="20" customHeight="1">
      <c r="A21" s="7" t="n">
        <v>13</v>
      </c>
      <c r="B21" s="8" t="inlineStr">
        <is>
          <t>Student Kits &amp; Actuators</t>
        </is>
      </c>
      <c r="C21" s="8" t="inlineStr">
        <is>
          <t>DuPont Jumper Wires (Male to Male)</t>
        </is>
      </c>
      <c r="D21" s="8" t="inlineStr">
        <is>
          <t>20cm 40-pin ribbon cable pack</t>
        </is>
      </c>
      <c r="E21" s="9" t="n">
        <v>15</v>
      </c>
      <c r="F21" s="7" t="inlineStr">
        <is>
          <t>Packs</t>
        </is>
      </c>
      <c r="G21" s="10" t="n">
        <v>100</v>
      </c>
      <c r="H21" s="11">
        <f>E21*G21</f>
        <v/>
      </c>
      <c r="I21" s="8" t="inlineStr">
        <is>
          <t>Breadboard wiring</t>
        </is>
      </c>
    </row>
    <row r="22" ht="20" customHeight="1">
      <c r="A22" s="12" t="n">
        <v>14</v>
      </c>
      <c r="B22" s="13" t="inlineStr">
        <is>
          <t>Student Kits &amp; Actuators</t>
        </is>
      </c>
      <c r="C22" s="13" t="inlineStr">
        <is>
          <t>DuPont Jumper Wires (Male to Female)</t>
        </is>
      </c>
      <c r="D22" s="13" t="inlineStr">
        <is>
          <t>20cm 40-pin ribbon cable pack</t>
        </is>
      </c>
      <c r="E22" s="14" t="n">
        <v>15</v>
      </c>
      <c r="F22" s="12" t="inlineStr">
        <is>
          <t>Packs</t>
        </is>
      </c>
      <c r="G22" s="15" t="n">
        <v>100</v>
      </c>
      <c r="H22" s="16">
        <f>E22*G22</f>
        <v/>
      </c>
      <c r="I22" s="13" t="inlineStr">
        <is>
          <t>Sensor module wiring</t>
        </is>
      </c>
    </row>
    <row r="23" ht="20" customHeight="1">
      <c r="A23" s="7" t="n">
        <v>15</v>
      </c>
      <c r="B23" s="8" t="inlineStr">
        <is>
          <t>Student Kits &amp; Actuators</t>
        </is>
      </c>
      <c r="C23" s="8" t="inlineStr">
        <is>
          <t>DuPont Jumper Wires (Female to Female)</t>
        </is>
      </c>
      <c r="D23" s="8" t="inlineStr">
        <is>
          <t>20cm 40-pin ribbon cable pack</t>
        </is>
      </c>
      <c r="E23" s="9" t="n">
        <v>10</v>
      </c>
      <c r="F23" s="7" t="inlineStr">
        <is>
          <t>Packs</t>
        </is>
      </c>
      <c r="G23" s="10" t="n">
        <v>100</v>
      </c>
      <c r="H23" s="11">
        <f>E23*G23</f>
        <v/>
      </c>
      <c r="I23" s="8" t="inlineStr">
        <is>
          <t>Inter-module connections</t>
        </is>
      </c>
    </row>
    <row r="24" ht="20" customHeight="1">
      <c r="A24" s="12" t="n">
        <v>16</v>
      </c>
      <c r="B24" s="13" t="inlineStr">
        <is>
          <t>Student Kits &amp; Actuators</t>
        </is>
      </c>
      <c r="C24" s="13" t="inlineStr">
        <is>
          <t>Carbon Film Resistors Assortment Box</t>
        </is>
      </c>
      <c r="D24" s="13" t="inlineStr">
        <is>
          <t>220Ω, 330Ω, 1kΩ, 10kΩ 1/4W</t>
        </is>
      </c>
      <c r="E24" s="14" t="n">
        <v>10</v>
      </c>
      <c r="F24" s="12" t="inlineStr">
        <is>
          <t>Boxes</t>
        </is>
      </c>
      <c r="G24" s="15" t="n">
        <v>180</v>
      </c>
      <c r="H24" s="16">
        <f>E24*G24</f>
        <v/>
      </c>
      <c r="I24" s="13" t="inlineStr">
        <is>
          <t>Current limiting &amp; pull-ups</t>
        </is>
      </c>
    </row>
    <row r="25" ht="20" customHeight="1">
      <c r="A25" s="7" t="n">
        <v>17</v>
      </c>
      <c r="B25" s="8" t="inlineStr">
        <is>
          <t>Student Kits &amp; Actuators</t>
        </is>
      </c>
      <c r="C25" s="8" t="inlineStr">
        <is>
          <t>5mm Diffused LEDs (Assorted Colors)</t>
        </is>
      </c>
      <c r="D25" s="8" t="inlineStr">
        <is>
          <t>Red, Green, Yellow, Blue 20mA</t>
        </is>
      </c>
      <c r="E25" s="9" t="n">
        <v>300</v>
      </c>
      <c r="F25" s="7" t="inlineStr">
        <is>
          <t>Pcs</t>
        </is>
      </c>
      <c r="G25" s="10" t="n">
        <v>3</v>
      </c>
      <c r="H25" s="11">
        <f>E25*G25</f>
        <v/>
      </c>
      <c r="I25" s="8" t="inlineStr">
        <is>
          <t>Visual output indicators</t>
        </is>
      </c>
    </row>
    <row r="26" ht="20" customHeight="1">
      <c r="A26" s="12" t="n">
        <v>18</v>
      </c>
      <c r="B26" s="13" t="inlineStr">
        <is>
          <t>Student Kits &amp; Actuators</t>
        </is>
      </c>
      <c r="C26" s="13" t="inlineStr">
        <is>
          <t>5V Active &amp; Passive Piezo Buzzers</t>
        </is>
      </c>
      <c r="D26" s="13" t="inlineStr">
        <is>
          <t>High clarity audio output</t>
        </is>
      </c>
      <c r="E26" s="14" t="n">
        <v>30</v>
      </c>
      <c r="F26" s="12" t="inlineStr">
        <is>
          <t>Pcs</t>
        </is>
      </c>
      <c r="G26" s="15" t="n">
        <v>25</v>
      </c>
      <c r="H26" s="16">
        <f>E26*G26</f>
        <v/>
      </c>
      <c r="I26" s="13" t="inlineStr">
        <is>
          <t>Sound alerts &amp; alarms</t>
        </is>
      </c>
    </row>
    <row r="27" ht="20" customHeight="1">
      <c r="A27" s="7" t="n">
        <v>19</v>
      </c>
      <c r="B27" s="8" t="inlineStr">
        <is>
          <t>Student Kits &amp; Actuators</t>
        </is>
      </c>
      <c r="C27" s="8" t="inlineStr">
        <is>
          <t>Mini 6x6mm Tactile Push Buttons</t>
        </is>
      </c>
      <c r="D27" s="8" t="inlineStr">
        <is>
          <t>4-pin momentary contact</t>
        </is>
      </c>
      <c r="E27" s="9" t="n">
        <v>100</v>
      </c>
      <c r="F27" s="7" t="inlineStr">
        <is>
          <t>Pcs</t>
        </is>
      </c>
      <c r="G27" s="10" t="n">
        <v>4</v>
      </c>
      <c r="H27" s="11">
        <f>E27*G27</f>
        <v/>
      </c>
      <c r="I27" s="8" t="inlineStr">
        <is>
          <t>Digital input switching</t>
        </is>
      </c>
    </row>
    <row r="28" ht="20" customHeight="1">
      <c r="A28" s="12" t="n">
        <v>20</v>
      </c>
      <c r="B28" s="13" t="inlineStr">
        <is>
          <t>Student Kits &amp; Actuators</t>
        </is>
      </c>
      <c r="C28" s="13" t="inlineStr">
        <is>
          <t>10k Rotary Potentiometers</t>
        </is>
      </c>
      <c r="D28" s="13" t="inlineStr">
        <is>
          <t>3-pin linear taper with knobs</t>
        </is>
      </c>
      <c r="E28" s="14" t="n">
        <v>20</v>
      </c>
      <c r="F28" s="12" t="inlineStr">
        <is>
          <t>Pcs</t>
        </is>
      </c>
      <c r="G28" s="15" t="n">
        <v>20</v>
      </c>
      <c r="H28" s="16">
        <f>E28*G28</f>
        <v/>
      </c>
      <c r="I28" s="13" t="inlineStr">
        <is>
          <t>Analog signal tuning</t>
        </is>
      </c>
    </row>
    <row r="29" ht="20" customHeight="1">
      <c r="A29" s="7" t="n">
        <v>21</v>
      </c>
      <c r="B29" s="8" t="inlineStr">
        <is>
          <t>Student Kits &amp; Actuators</t>
        </is>
      </c>
      <c r="C29" s="8" t="inlineStr">
        <is>
          <t>SG90 9g Micro Servo Motor</t>
        </is>
      </c>
      <c r="D29" s="8" t="inlineStr">
        <is>
          <t>1.8kg.cm torque, 180° rotation</t>
        </is>
      </c>
      <c r="E29" s="9" t="n">
        <v>10</v>
      </c>
      <c r="F29" s="7" t="inlineStr">
        <is>
          <t>Pcs</t>
        </is>
      </c>
      <c r="G29" s="10" t="n">
        <v>220</v>
      </c>
      <c r="H29" s="11">
        <f>E29*G29</f>
        <v/>
      </c>
      <c r="I29" s="8" t="inlineStr">
        <is>
          <t>Automated gates &amp; bin lids</t>
        </is>
      </c>
    </row>
    <row r="30" ht="20" customHeight="1">
      <c r="A30" s="12" t="n">
        <v>22</v>
      </c>
      <c r="B30" s="13" t="inlineStr">
        <is>
          <t>Student Kits &amp; Actuators</t>
        </is>
      </c>
      <c r="C30" s="13" t="inlineStr">
        <is>
          <t>5V 1-Channel Relay Module</t>
        </is>
      </c>
      <c r="D30" s="13" t="inlineStr">
        <is>
          <t>Optocoupler isolated 10A 250VAC</t>
        </is>
      </c>
      <c r="E30" s="14" t="n">
        <v>10</v>
      </c>
      <c r="F30" s="12" t="inlineStr">
        <is>
          <t>Pcs</t>
        </is>
      </c>
      <c r="G30" s="15" t="n">
        <v>140</v>
      </c>
      <c r="H30" s="16">
        <f>E30*G30</f>
        <v/>
      </c>
      <c r="I30" s="13" t="inlineStr">
        <is>
          <t>AC/DC heavy switching</t>
        </is>
      </c>
    </row>
    <row r="31" ht="20" customHeight="1">
      <c r="A31" s="7" t="n">
        <v>23</v>
      </c>
      <c r="B31" s="8" t="inlineStr">
        <is>
          <t>Student Kits &amp; Actuators</t>
        </is>
      </c>
      <c r="C31" s="8" t="inlineStr">
        <is>
          <t>Mini 5V Submersible DC Water Pump</t>
        </is>
      </c>
      <c r="D31" s="8" t="inlineStr">
        <is>
          <t>100-240L/H flow with flexible tubing</t>
        </is>
      </c>
      <c r="E31" s="9" t="n">
        <v>5</v>
      </c>
      <c r="F31" s="7" t="inlineStr">
        <is>
          <t>Pcs</t>
        </is>
      </c>
      <c r="G31" s="10" t="n">
        <v>280</v>
      </c>
      <c r="H31" s="11">
        <f>E31*G31</f>
        <v/>
      </c>
      <c r="I31" s="8" t="inlineStr">
        <is>
          <t>Water pumping prototype</t>
        </is>
      </c>
    </row>
    <row r="32" ht="20" customHeight="1">
      <c r="A32" s="12" t="n">
        <v>24</v>
      </c>
      <c r="B32" s="13" t="inlineStr">
        <is>
          <t>Student Kits &amp; Actuators</t>
        </is>
      </c>
      <c r="C32" s="13" t="inlineStr">
        <is>
          <t>3V-6V DC Hobby Toy Motor with Fan</t>
        </is>
      </c>
      <c r="D32" s="13" t="inlineStr">
        <is>
          <t>High RPM mini motor + plastic fan</t>
        </is>
      </c>
      <c r="E32" s="14" t="n">
        <v>10</v>
      </c>
      <c r="F32" s="12" t="inlineStr">
        <is>
          <t>Pcs</t>
        </is>
      </c>
      <c r="G32" s="15" t="n">
        <v>90</v>
      </c>
      <c r="H32" s="16">
        <f>E32*G32</f>
        <v/>
      </c>
      <c r="I32" s="13" t="inlineStr">
        <is>
          <t>Motor control experiments</t>
        </is>
      </c>
    </row>
    <row r="33" ht="20" customHeight="1">
      <c r="A33" s="7" t="n">
        <v>25</v>
      </c>
      <c r="B33" s="8" t="inlineStr">
        <is>
          <t>Student Kits &amp; Actuators</t>
        </is>
      </c>
      <c r="C33" s="8" t="inlineStr">
        <is>
          <t>Heavy Duty 9V Hi-Watt Battery + Snap</t>
        </is>
      </c>
      <c r="D33" s="8" t="inlineStr">
        <is>
          <t>9V battery with DC jack snap wire</t>
        </is>
      </c>
      <c r="E33" s="9" t="n">
        <v>20</v>
      </c>
      <c r="F33" s="7" t="inlineStr">
        <is>
          <t>Sets</t>
        </is>
      </c>
      <c r="G33" s="10" t="n">
        <v>75</v>
      </c>
      <c r="H33" s="11">
        <f>E33*G33</f>
        <v/>
      </c>
      <c r="I33" s="8" t="inlineStr">
        <is>
          <t>Portable circuit power</t>
        </is>
      </c>
    </row>
    <row r="34" ht="20" customHeight="1">
      <c r="A34" s="12" t="n">
        <v>26</v>
      </c>
      <c r="B34" s="13" t="inlineStr">
        <is>
          <t>Student Kits &amp; Actuators</t>
        </is>
      </c>
      <c r="C34" s="13" t="inlineStr">
        <is>
          <t>4x AA Battery Holder Box with Switch</t>
        </is>
      </c>
      <c r="D34" s="13" t="inlineStr">
        <is>
          <t>6V DC output with ON/OFF switch</t>
        </is>
      </c>
      <c r="E34" s="14" t="n">
        <v>10</v>
      </c>
      <c r="F34" s="12" t="inlineStr">
        <is>
          <t>Pcs</t>
        </is>
      </c>
      <c r="G34" s="15" t="n">
        <v>95</v>
      </c>
      <c r="H34" s="16">
        <f>E34*G34</f>
        <v/>
      </c>
      <c r="I34" s="13" t="inlineStr">
        <is>
          <t>Motor &amp; servo power supply</t>
        </is>
      </c>
    </row>
    <row r="35" ht="20" customHeight="1">
      <c r="A35" s="7" t="n">
        <v>27</v>
      </c>
      <c r="B35" s="8" t="inlineStr">
        <is>
          <t>Student Kits &amp; Actuators</t>
        </is>
      </c>
      <c r="C35" s="8" t="inlineStr">
        <is>
          <t>Component Plastic Storage Organizer Box</t>
        </is>
      </c>
      <c r="D35" s="8" t="inlineStr">
        <is>
          <t>Multi-grid plastic hardware container</t>
        </is>
      </c>
      <c r="E35" s="9" t="n">
        <v>10</v>
      </c>
      <c r="F35" s="7" t="inlineStr">
        <is>
          <t>Pcs</t>
        </is>
      </c>
      <c r="G35" s="10" t="n">
        <v>140</v>
      </c>
      <c r="H35" s="11">
        <f>E35*G35</f>
        <v/>
      </c>
      <c r="I35" s="8" t="inlineStr">
        <is>
          <t>Team kit organization</t>
        </is>
      </c>
    </row>
    <row r="36" ht="20" customHeight="1">
      <c r="A36" s="12" t="n">
        <v>28</v>
      </c>
      <c r="B36" s="13" t="inlineStr">
        <is>
          <t>Tools &amp; Testing Equipment</t>
        </is>
      </c>
      <c r="C36" s="13" t="inlineStr">
        <is>
          <t>DT830B / XL830L Digital Multimeter</t>
        </is>
      </c>
      <c r="D36" s="13" t="inlineStr">
        <is>
          <t>LCD display with test probes &amp; 9V battery</t>
        </is>
      </c>
      <c r="E36" s="14" t="n">
        <v>5</v>
      </c>
      <c r="F36" s="12" t="inlineStr">
        <is>
          <t>Pcs</t>
        </is>
      </c>
      <c r="G36" s="15" t="n">
        <v>500</v>
      </c>
      <c r="H36" s="16">
        <f>E36*G36</f>
        <v/>
      </c>
      <c r="I36" s="13" t="inlineStr">
        <is>
          <t>Voltage, current &amp; continuity</t>
        </is>
      </c>
    </row>
    <row r="37" ht="20" customHeight="1">
      <c r="A37" s="7" t="n">
        <v>29</v>
      </c>
      <c r="B37" s="8" t="inlineStr">
        <is>
          <t>Tools &amp; Testing Equipment</t>
        </is>
      </c>
      <c r="C37" s="8" t="inlineStr">
        <is>
          <t>Precision Wire Stripper &amp; Cutter</t>
        </is>
      </c>
      <c r="D37" s="8" t="inlineStr">
        <is>
          <t>Multifunctional pliers for wire processing</t>
        </is>
      </c>
      <c r="E37" s="9" t="n">
        <v>5</v>
      </c>
      <c r="F37" s="7" t="inlineStr">
        <is>
          <t>Pcs</t>
        </is>
      </c>
      <c r="G37" s="10" t="n">
        <v>300</v>
      </c>
      <c r="H37" s="11">
        <f>E37*G37</f>
        <v/>
      </c>
      <c r="I37" s="8" t="inlineStr">
        <is>
          <t>Wire preparation</t>
        </is>
      </c>
    </row>
    <row r="38" ht="20" customHeight="1">
      <c r="A38" s="12" t="n">
        <v>30</v>
      </c>
      <c r="B38" s="13" t="inlineStr">
        <is>
          <t>Tools &amp; Testing Equipment</t>
        </is>
      </c>
      <c r="C38" s="13" t="inlineStr">
        <is>
          <t>Precision Mini Screwdriver Set</t>
        </is>
      </c>
      <c r="D38" s="13" t="inlineStr">
        <is>
          <t>6-piece cross &amp; flathead drivers</t>
        </is>
      </c>
      <c r="E38" s="14" t="n">
        <v>5</v>
      </c>
      <c r="F38" s="12" t="inlineStr">
        <is>
          <t>Sets</t>
        </is>
      </c>
      <c r="G38" s="15" t="n">
        <v>200</v>
      </c>
      <c r="H38" s="16">
        <f>E38*G38</f>
        <v/>
      </c>
      <c r="I38" s="13" t="inlineStr">
        <is>
          <t>Enclosure assembly</t>
        </is>
      </c>
    </row>
    <row r="39" ht="20" customHeight="1">
      <c r="A39" s="7" t="n">
        <v>31</v>
      </c>
      <c r="B39" s="8" t="inlineStr">
        <is>
          <t>Tools &amp; Testing Equipment</t>
        </is>
      </c>
      <c r="C39" s="8" t="inlineStr">
        <is>
          <t>20W Electric Hot Glue Gun + Glue Sticks</t>
        </is>
      </c>
      <c r="D39" s="8" t="inlineStr">
        <is>
          <t>High temp glue gun with 50 sticks</t>
        </is>
      </c>
      <c r="E39" s="9" t="n">
        <v>5</v>
      </c>
      <c r="F39" s="7" t="inlineStr">
        <is>
          <t>Sets</t>
        </is>
      </c>
      <c r="G39" s="10" t="n">
        <v>300</v>
      </c>
      <c r="H39" s="11">
        <f>E39*G39</f>
        <v/>
      </c>
      <c r="I39" s="8" t="inlineStr">
        <is>
          <t>Physical mounting &amp; insulation</t>
        </is>
      </c>
    </row>
    <row r="40" ht="20" customHeight="1">
      <c r="A40" s="12" t="n">
        <v>32</v>
      </c>
      <c r="B40" s="13" t="inlineStr">
        <is>
          <t>Tools &amp; Testing Equipment</t>
        </is>
      </c>
      <c r="C40" s="13" t="inlineStr">
        <is>
          <t>30W Soldering Iron Kit (Standby)</t>
        </is>
      </c>
      <c r="D40" s="13" t="inlineStr">
        <is>
          <t>Iron, stand, solder wire &amp; desoldering pump</t>
        </is>
      </c>
      <c r="E40" s="14" t="n">
        <v>3</v>
      </c>
      <c r="F40" s="12" t="inlineStr">
        <is>
          <t>Sets</t>
        </is>
      </c>
      <c r="G40" s="15" t="n">
        <v>500</v>
      </c>
      <c r="H40" s="16">
        <f>E40*G40</f>
        <v/>
      </c>
      <c r="I40" s="13" t="inlineStr">
        <is>
          <t>Mentor repair &amp; joining</t>
        </is>
      </c>
    </row>
    <row r="41" ht="20" customHeight="1">
      <c r="A41" s="7" t="n">
        <v>33</v>
      </c>
      <c r="B41" s="8" t="inlineStr">
        <is>
          <t>Construction Materials &amp; Enclosures</t>
        </is>
      </c>
      <c r="C41" s="8" t="inlineStr">
        <is>
          <t>Prototyping Housing Enclosure Box</t>
        </is>
      </c>
      <c r="D41" s="8" t="inlineStr">
        <is>
          <t>ABS plastic enclosure box 15x10cm</t>
        </is>
      </c>
      <c r="E41" s="9" t="n">
        <v>10</v>
      </c>
      <c r="F41" s="7" t="inlineStr">
        <is>
          <t>Pcs</t>
        </is>
      </c>
      <c r="G41" s="10" t="n">
        <v>300</v>
      </c>
      <c r="H41" s="11">
        <f>E41*G41</f>
        <v/>
      </c>
      <c r="I41" s="8" t="inlineStr">
        <is>
          <t>Protective project casing</t>
        </is>
      </c>
    </row>
    <row r="42" ht="20" customHeight="1">
      <c r="A42" s="12" t="n">
        <v>34</v>
      </c>
      <c r="B42" s="13" t="inlineStr">
        <is>
          <t>Construction Materials &amp; Enclosures</t>
        </is>
      </c>
      <c r="C42" s="13" t="inlineStr">
        <is>
          <t>Acrylic Project Display Stand &amp; Mounts</t>
        </is>
      </c>
      <c r="D42" s="13" t="inlineStr">
        <is>
          <t>Clear acrylic baseboards &amp; brackets</t>
        </is>
      </c>
      <c r="E42" s="14" t="n">
        <v>10</v>
      </c>
      <c r="F42" s="12" t="inlineStr">
        <is>
          <t>Pcs</t>
        </is>
      </c>
      <c r="G42" s="15" t="n">
        <v>200</v>
      </c>
      <c r="H42" s="16">
        <f>E42*G42</f>
        <v/>
      </c>
      <c r="I42" s="13" t="inlineStr">
        <is>
          <t>Clean project display</t>
        </is>
      </c>
    </row>
    <row r="43" ht="20" customHeight="1">
      <c r="A43" s="7" t="n">
        <v>35</v>
      </c>
      <c r="B43" s="8" t="inlineStr">
        <is>
          <t>Construction Materials &amp; Enclosures</t>
        </is>
      </c>
      <c r="C43" s="8" t="inlineStr">
        <is>
          <t>Structural Mounts, Cardboard &amp; Foam Boards</t>
        </is>
      </c>
      <c r="D43" s="8" t="inlineStr">
        <is>
          <t>Heavy duty cardboard &amp; foam sheets</t>
        </is>
      </c>
      <c r="E43" s="9" t="n">
        <v>10</v>
      </c>
      <c r="F43" s="7" t="inlineStr">
        <is>
          <t>Sets</t>
        </is>
      </c>
      <c r="G43" s="10" t="n">
        <v>350</v>
      </c>
      <c r="H43" s="11">
        <f>E43*G43</f>
        <v/>
      </c>
      <c r="I43" s="8" t="inlineStr">
        <is>
          <t>Scale physical prototypes</t>
        </is>
      </c>
    </row>
    <row r="44" ht="20" customHeight="1">
      <c r="A44" s="12" t="n">
        <v>36</v>
      </c>
      <c r="B44" s="13" t="inlineStr">
        <is>
          <t>Construction Materials &amp; Enclosures</t>
        </is>
      </c>
      <c r="C44" s="13" t="inlineStr">
        <is>
          <t>Cable Ties, Electrical Tape &amp; Fasteners</t>
        </is>
      </c>
      <c r="D44" s="13" t="inlineStr">
        <is>
          <t>Assorted zip ties, insulating tape &amp; screws</t>
        </is>
      </c>
      <c r="E44" s="14" t="n">
        <v>10</v>
      </c>
      <c r="F44" s="12" t="inlineStr">
        <is>
          <t>Sets</t>
        </is>
      </c>
      <c r="G44" s="15" t="n">
        <v>200</v>
      </c>
      <c r="H44" s="16">
        <f>E44*G44</f>
        <v/>
      </c>
      <c r="I44" s="13" t="inlineStr">
        <is>
          <t>Neat wire management</t>
        </is>
      </c>
    </row>
    <row r="45" ht="20" customHeight="1">
      <c r="A45" s="7" t="n">
        <v>37</v>
      </c>
      <c r="B45" s="8" t="inlineStr">
        <is>
          <t>Construction Materials &amp; Enclosures</t>
        </is>
      </c>
      <c r="C45" s="8" t="inlineStr">
        <is>
          <t>Craft Cutters, Rulers &amp; Cutting Mats</t>
        </is>
      </c>
      <c r="D45" s="8" t="inlineStr">
        <is>
          <t>Utility knives &amp; metal rulers</t>
        </is>
      </c>
      <c r="E45" s="9" t="n">
        <v>5</v>
      </c>
      <c r="F45" s="7" t="inlineStr">
        <is>
          <t>Sets</t>
        </is>
      </c>
      <c r="G45" s="10" t="n">
        <v>300</v>
      </c>
      <c r="H45" s="11">
        <f>E45*G45</f>
        <v/>
      </c>
      <c r="I45" s="8" t="inlineStr">
        <is>
          <t>Material cutting station</t>
        </is>
      </c>
    </row>
    <row r="46" ht="20" customHeight="1">
      <c r="A46" s="12" t="n">
        <v>38</v>
      </c>
      <c r="B46" s="13" t="inlineStr">
        <is>
          <t>Materials, Logistics &amp; Operations</t>
        </is>
      </c>
      <c r="C46" s="13" t="inlineStr">
        <is>
          <t>Printed Student Curriculum Workbooks</t>
        </is>
      </c>
      <c r="D46" s="13" t="inlineStr">
        <is>
          <t>Full color 9-day lab manuals &amp; schematics</t>
        </is>
      </c>
      <c r="E46" s="14" t="n">
        <v>50</v>
      </c>
      <c r="F46" s="12" t="inlineStr">
        <is>
          <t>Copies</t>
        </is>
      </c>
      <c r="G46" s="15" t="n">
        <v>80</v>
      </c>
      <c r="H46" s="16">
        <f>E46*G46</f>
        <v/>
      </c>
      <c r="I46" s="13" t="inlineStr">
        <is>
          <t>Individual student guides</t>
        </is>
      </c>
    </row>
    <row r="47" ht="20" customHeight="1">
      <c r="A47" s="7" t="n">
        <v>39</v>
      </c>
      <c r="B47" s="8" t="inlineStr">
        <is>
          <t>Materials, Logistics &amp; Operations</t>
        </is>
      </c>
      <c r="C47" s="8" t="inlineStr">
        <is>
          <t>Completion &amp; Volunteer Certificates</t>
        </is>
      </c>
      <c r="D47" s="8" t="inlineStr">
        <is>
          <t>High quality embossed municipality certificates</t>
        </is>
      </c>
      <c r="E47" s="9" t="n">
        <v>50</v>
      </c>
      <c r="F47" s="7" t="inlineStr">
        <is>
          <t>Copies</t>
        </is>
      </c>
      <c r="G47" s="10" t="n">
        <v>60</v>
      </c>
      <c r="H47" s="11">
        <f>E47*G47</f>
        <v/>
      </c>
      <c r="I47" s="8" t="inlineStr">
        <is>
          <t>Official recognition</t>
        </is>
      </c>
    </row>
    <row r="48" ht="20" customHeight="1">
      <c r="A48" s="12" t="n">
        <v>40</v>
      </c>
      <c r="B48" s="13" t="inlineStr">
        <is>
          <t>Materials, Logistics &amp; Operations</t>
        </is>
      </c>
      <c r="C48" s="13" t="inlineStr">
        <is>
          <t>Day 9 Exhibition Flex Banners &amp; Signage</t>
        </is>
      </c>
      <c r="D48" s="13" t="inlineStr">
        <is>
          <t>Zone banners, backdrop &amp; audio setup</t>
        </is>
      </c>
      <c r="E48" s="14" t="n">
        <v>1</v>
      </c>
      <c r="F48" s="12" t="inlineStr">
        <is>
          <t>Lot</t>
        </is>
      </c>
      <c r="G48" s="15" t="n">
        <v>5000</v>
      </c>
      <c r="H48" s="16">
        <f>E48*G48</f>
        <v/>
      </c>
      <c r="I48" s="13" t="inlineStr">
        <is>
          <t>PRAYASH Tech Exhibition</t>
        </is>
      </c>
    </row>
    <row r="49" ht="20" customHeight="1">
      <c r="A49" s="7" t="n">
        <v>41</v>
      </c>
      <c r="B49" s="8" t="inlineStr">
        <is>
          <t>Materials, Logistics &amp; Operations</t>
        </is>
      </c>
      <c r="C49" s="8" t="inlineStr">
        <is>
          <t>Equipment Freight &amp; Transportation</t>
        </is>
      </c>
      <c r="D49" s="8" t="inlineStr">
        <is>
          <t>Kathmandu to district equipment transit</t>
        </is>
      </c>
      <c r="E49" s="9" t="n">
        <v>1</v>
      </c>
      <c r="F49" s="7" t="inlineStr">
        <is>
          <t>Lot</t>
        </is>
      </c>
      <c r="G49" s="10" t="n">
        <v>7000</v>
      </c>
      <c r="H49" s="11">
        <f>E49*G49</f>
        <v/>
      </c>
      <c r="I49" s="8" t="inlineStr">
        <is>
          <t>Safe logistics delivery</t>
        </is>
      </c>
    </row>
    <row r="50" ht="20" customHeight="1">
      <c r="A50" s="12" t="n">
        <v>42</v>
      </c>
      <c r="B50" s="13" t="inlineStr">
        <is>
          <t>Materials, Logistics &amp; Operations</t>
        </is>
      </c>
      <c r="C50" s="13" t="inlineStr">
        <is>
          <t>Emergency Contingency Reserve Fund</t>
        </is>
      </c>
      <c r="D50" s="13" t="inlineStr">
        <is>
          <t>Buffer for spare parts, batteries &amp; breakage</t>
        </is>
      </c>
      <c r="E50" s="14" t="n">
        <v>1</v>
      </c>
      <c r="F50" s="12" t="inlineStr">
        <is>
          <t>Lot</t>
        </is>
      </c>
      <c r="G50" s="15" t="n">
        <v>8000</v>
      </c>
      <c r="H50" s="16">
        <f>E50*G50</f>
        <v/>
      </c>
      <c r="I50" s="13" t="inlineStr">
        <is>
          <t>Unforeseen emergencies</t>
        </is>
      </c>
    </row>
    <row r="51" ht="26" customHeight="1">
      <c r="A51" s="17" t="inlineStr">
        <is>
          <t>GRAND TOTAL PROGRAM BUDGET ALLOCATION</t>
        </is>
      </c>
      <c r="B51" s="18" t="n"/>
      <c r="C51" s="18" t="n"/>
      <c r="D51" s="18" t="n"/>
      <c r="E51" s="18" t="n"/>
      <c r="F51" s="18" t="n"/>
      <c r="G51" s="18" t="n"/>
      <c r="H51" s="19">
        <f>SUM(H9:H50)</f>
        <v/>
      </c>
      <c r="I51" s="18" t="n"/>
    </row>
  </sheetData>
  <mergeCells count="11">
    <mergeCell ref="E6:F6"/>
    <mergeCell ref="A2:I2"/>
    <mergeCell ref="C6:D6"/>
    <mergeCell ref="C5:D5"/>
    <mergeCell ref="A5:B5"/>
    <mergeCell ref="A1:I1"/>
    <mergeCell ref="E5:F5"/>
    <mergeCell ref="G5:H5"/>
    <mergeCell ref="G6:H6"/>
    <mergeCell ref="A51:G51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4" customWidth="1" min="3" max="3"/>
    <col width="20" customWidth="1" min="4" max="4"/>
  </cols>
  <sheetData>
    <row r="1" ht="28" customHeight="1">
      <c r="A1" s="1" t="inlineStr">
        <is>
          <t>PROJECT PRAYASH 2026 — BUDGET ALLOCATION BY CATEGORY</t>
        </is>
      </c>
    </row>
    <row r="2"/>
    <row r="3" ht="24" customHeight="1">
      <c r="A3" s="20" t="inlineStr">
        <is>
          <t>Category S.N.</t>
        </is>
      </c>
      <c r="B3" s="20" t="inlineStr">
        <is>
          <t>Budget Allocation Category</t>
        </is>
      </c>
      <c r="C3" s="20" t="inlineStr">
        <is>
          <t>Budget Amount (NPR)</t>
        </is>
      </c>
      <c r="D3" s="20" t="inlineStr">
        <is>
          <t>% of Total Budget</t>
        </is>
      </c>
    </row>
    <row r="4" ht="20" customHeight="1">
      <c r="A4" s="7" t="inlineStr">
        <is>
          <t>01</t>
        </is>
      </c>
      <c r="B4" s="8" t="inlineStr">
        <is>
          <t>Student Electronics Kits (10 Reusable Team Kits)</t>
        </is>
      </c>
      <c r="C4" s="11" t="n">
        <v>22000</v>
      </c>
      <c r="D4" s="21">
        <f>C4/C15</f>
        <v/>
      </c>
    </row>
    <row r="5" ht="20" customHeight="1">
      <c r="A5" s="12" t="inlineStr">
        <is>
          <t>02</t>
        </is>
      </c>
      <c r="B5" s="13" t="inlineStr">
        <is>
          <t>Arduino &amp; Microcontroller Boards</t>
        </is>
      </c>
      <c r="C5" s="16" t="n">
        <v>8000</v>
      </c>
      <c r="D5" s="22">
        <f>C5/C15</f>
        <v/>
      </c>
    </row>
    <row r="6" ht="20" customHeight="1">
      <c r="A6" s="7" t="inlineStr">
        <is>
          <t>03</t>
        </is>
      </c>
      <c r="B6" s="8" t="inlineStr">
        <is>
          <t>Sensors &amp; Input Modules</t>
        </is>
      </c>
      <c r="C6" s="11" t="n">
        <v>8000</v>
      </c>
      <c r="D6" s="21">
        <f>C6/C15</f>
        <v/>
      </c>
    </row>
    <row r="7" ht="20" customHeight="1">
      <c r="A7" s="12" t="inlineStr">
        <is>
          <t>04</t>
        </is>
      </c>
      <c r="B7" s="13" t="inlineStr">
        <is>
          <t>Tools &amp; Workshop Testing Equipment</t>
        </is>
      </c>
      <c r="C7" s="16" t="n">
        <v>8000</v>
      </c>
      <c r="D7" s="22">
        <f>C7/C15</f>
        <v/>
      </c>
    </row>
    <row r="8" ht="20" customHeight="1">
      <c r="A8" s="7" t="inlineStr">
        <is>
          <t>05</t>
        </is>
      </c>
      <c r="B8" s="8" t="inlineStr">
        <is>
          <t>Project Construction Materials &amp; Mounts</t>
        </is>
      </c>
      <c r="C8" s="11" t="n">
        <v>7000</v>
      </c>
      <c r="D8" s="21">
        <f>C8/C15</f>
        <v/>
      </c>
    </row>
    <row r="9" ht="20" customHeight="1">
      <c r="A9" s="12" t="inlineStr">
        <is>
          <t>06</t>
        </is>
      </c>
      <c r="B9" s="13" t="inlineStr">
        <is>
          <t>Project Enclosures &amp; Display Stands</t>
        </is>
      </c>
      <c r="C9" s="16" t="n">
        <v>5000</v>
      </c>
      <c r="D9" s="22">
        <f>C9/C15</f>
        <v/>
      </c>
    </row>
    <row r="10" ht="20" customHeight="1">
      <c r="A10" s="7" t="inlineStr">
        <is>
          <t>07</t>
        </is>
      </c>
      <c r="B10" s="8" t="inlineStr">
        <is>
          <t>Day 9 Tech Exhibition Setup</t>
        </is>
      </c>
      <c r="C10" s="11" t="n">
        <v>5000</v>
      </c>
      <c r="D10" s="21">
        <f>C10/C15</f>
        <v/>
      </c>
    </row>
    <row r="11" ht="20" customHeight="1">
      <c r="A11" s="12" t="inlineStr">
        <is>
          <t>08</t>
        </is>
      </c>
      <c r="B11" s="13" t="inlineStr">
        <is>
          <t>Printing &amp; Learning Workbooks</t>
        </is>
      </c>
      <c r="C11" s="16" t="n">
        <v>4000</v>
      </c>
      <c r="D11" s="22">
        <f>C11/C15</f>
        <v/>
      </c>
    </row>
    <row r="12" ht="20" customHeight="1">
      <c r="A12" s="7" t="inlineStr">
        <is>
          <t>09</t>
        </is>
      </c>
      <c r="B12" s="8" t="inlineStr">
        <is>
          <t>Certificates &amp; Student Recognition</t>
        </is>
      </c>
      <c r="C12" s="11" t="n">
        <v>3000</v>
      </c>
      <c r="D12" s="21">
        <f>C12/C15</f>
        <v/>
      </c>
    </row>
    <row r="13" ht="20" customHeight="1">
      <c r="A13" s="12" t="inlineStr">
        <is>
          <t>10</t>
        </is>
      </c>
      <c r="B13" s="13" t="inlineStr">
        <is>
          <t>Equipment Freight &amp; Transportation</t>
        </is>
      </c>
      <c r="C13" s="16" t="n">
        <v>7000</v>
      </c>
      <c r="D13" s="22">
        <f>C13/C15</f>
        <v/>
      </c>
    </row>
    <row r="14" ht="20" customHeight="1">
      <c r="A14" s="7" t="inlineStr">
        <is>
          <t>11</t>
        </is>
      </c>
      <c r="B14" s="8" t="inlineStr">
        <is>
          <t>Emergency Contingency Reserve Fund</t>
        </is>
      </c>
      <c r="C14" s="11" t="n">
        <v>8000</v>
      </c>
      <c r="D14" s="21">
        <f>C14/C15</f>
        <v/>
      </c>
    </row>
    <row r="15" ht="26" customHeight="1">
      <c r="A15" s="18" t="inlineStr"/>
      <c r="B15" s="17" t="inlineStr">
        <is>
          <t>TOTAL PROPOSED BUDGET</t>
        </is>
      </c>
      <c r="C15" s="19">
        <f>SUM(C4:C14)</f>
        <v/>
      </c>
      <c r="D15" s="23">
        <f>SUM(D4:D14)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2026-08-11T10:29:20Z</dcterms:created>
  <dcterms:modified xsi:type="dcterms:W3CDTF">2026-08-11T10:29:20Z</dcterms:modified>
</cp:coreProperties>
</file>